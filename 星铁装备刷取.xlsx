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490"/>
  </bookViews>
  <sheets>
    <sheet name="角色遗器" sheetId="1" r:id="rId1"/>
    <sheet name="主词条分布" sheetId="2" r:id="rId2"/>
    <sheet name="遗器相关" sheetId="3" r:id="rId3"/>
  </sheets>
  <definedNames>
    <definedName name="_xlnm._FilterDatabase" localSheetId="0" hidden="1">角色遗器!$A$1:$P$46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<sst xmlns="http://schemas.openxmlformats.org/spreadsheetml/2006/main" count="575" uniqueCount="264">
  <si>
    <t>角色名称</t>
  </si>
  <si>
    <t>遗器套装名称</t>
  </si>
  <si>
    <t>内圈套装名称</t>
  </si>
  <si>
    <t>有效词条数量</t>
  </si>
  <si>
    <t>有效词条</t>
  </si>
  <si>
    <t>衣服主词条</t>
  </si>
  <si>
    <t>鞋子主词条</t>
  </si>
  <si>
    <t>球主词条</t>
  </si>
  <si>
    <t>绳子主词条</t>
  </si>
  <si>
    <t>头</t>
  </si>
  <si>
    <t>手</t>
  </si>
  <si>
    <t>衣服</t>
  </si>
  <si>
    <t>鞋子</t>
  </si>
  <si>
    <t>球</t>
  </si>
  <si>
    <t>绳子</t>
  </si>
  <si>
    <t>词条数量</t>
  </si>
  <si>
    <t>盾丹</t>
  </si>
  <si>
    <t>隐士</t>
  </si>
  <si>
    <t>露莎卡</t>
  </si>
  <si>
    <t>大攻击、速度</t>
  </si>
  <si>
    <t>大攻击</t>
  </si>
  <si>
    <t>大丽花</t>
  </si>
  <si>
    <t>铁骑</t>
  </si>
  <si>
    <t>铸炼</t>
  </si>
  <si>
    <t>击破、速度</t>
  </si>
  <si>
    <t>大生命</t>
  </si>
  <si>
    <t>速度</t>
  </si>
  <si>
    <t>击破</t>
  </si>
  <si>
    <t>记忆主</t>
  </si>
  <si>
    <t>救世主</t>
  </si>
  <si>
    <t>暴伤、速度、大攻击</t>
  </si>
  <si>
    <t>暴伤</t>
  </si>
  <si>
    <t>冰伤</t>
  </si>
  <si>
    <t>充能</t>
  </si>
  <si>
    <t>刻律德拉</t>
  </si>
  <si>
    <t>司铎</t>
  </si>
  <si>
    <t>大攻击、速度、暴伤</t>
  </si>
  <si>
    <t>海瑟音</t>
  </si>
  <si>
    <t>系囚</t>
  </si>
  <si>
    <t>海埂</t>
  </si>
  <si>
    <t>效果命中、速度、大攻击</t>
  </si>
  <si>
    <t>效果命中</t>
  </si>
  <si>
    <t>物伤</t>
  </si>
  <si>
    <t>白厄</t>
  </si>
  <si>
    <t>船长</t>
  </si>
  <si>
    <t>乐园</t>
  </si>
  <si>
    <t>暴击、暴伤、大攻击</t>
  </si>
  <si>
    <t>暴击</t>
  </si>
  <si>
    <t>遐蝶</t>
  </si>
  <si>
    <t>诗人</t>
  </si>
  <si>
    <t>哀地</t>
  </si>
  <si>
    <t>暴击、暴伤、大生命</t>
  </si>
  <si>
    <t>提宝</t>
  </si>
  <si>
    <t>星期日</t>
  </si>
  <si>
    <t>暴伤、速度、效果抵抗</t>
  </si>
  <si>
    <t>流萤</t>
  </si>
  <si>
    <t>大攻击、击破、速度</t>
  </si>
  <si>
    <t>黑天鹅</t>
  </si>
  <si>
    <t>大攻击、效果命中、速度</t>
  </si>
  <si>
    <t>风伤</t>
  </si>
  <si>
    <t>花火</t>
  </si>
  <si>
    <t>信使</t>
  </si>
  <si>
    <t>仙舟</t>
  </si>
  <si>
    <t>大防御</t>
  </si>
  <si>
    <t>阮梅</t>
  </si>
  <si>
    <t>怪盗</t>
  </si>
  <si>
    <t>塔利亚</t>
  </si>
  <si>
    <t>击破、速度、效果抵抗</t>
  </si>
  <si>
    <t>忘归人</t>
  </si>
  <si>
    <t>击破、速度、效果命中</t>
  </si>
  <si>
    <t>椒丘</t>
  </si>
  <si>
    <t>翔鹰</t>
  </si>
  <si>
    <t>翁瓦克</t>
  </si>
  <si>
    <t>火伤</t>
  </si>
  <si>
    <t>霍霍</t>
  </si>
  <si>
    <t>过客</t>
  </si>
  <si>
    <t>伊须</t>
  </si>
  <si>
    <t>效果抵抗、速度、大生命</t>
  </si>
  <si>
    <t>治疗量</t>
  </si>
  <si>
    <t>白露</t>
  </si>
  <si>
    <t>大生命、速度、效果抵抗</t>
  </si>
  <si>
    <t>罗刹</t>
  </si>
  <si>
    <t>大攻击、速度、效果抵抗</t>
  </si>
  <si>
    <t>布洛尼亚</t>
  </si>
  <si>
    <t>卡夫卡</t>
  </si>
  <si>
    <t>大攻击、速度、效果命中</t>
  </si>
  <si>
    <t>雷伤</t>
  </si>
  <si>
    <t>风堇</t>
  </si>
  <si>
    <t>女武神</t>
  </si>
  <si>
    <t>树庭</t>
  </si>
  <si>
    <t>大生命、速度、效果抵抗、暴伤</t>
  </si>
  <si>
    <t>赛飞儿</t>
  </si>
  <si>
    <t>司铎+信使</t>
  </si>
  <si>
    <t>速度、大攻击、暴击、暴伤</t>
  </si>
  <si>
    <t>量子伤</t>
  </si>
  <si>
    <t>大黑塔</t>
  </si>
  <si>
    <t>学者</t>
  </si>
  <si>
    <t>出云</t>
  </si>
  <si>
    <t>知更鸟</t>
  </si>
  <si>
    <t>快枪手+信使</t>
  </si>
  <si>
    <t>大攻击、小攻击、效果抵抗、速度</t>
  </si>
  <si>
    <t>黄泉</t>
  </si>
  <si>
    <t>先驱</t>
  </si>
  <si>
    <t>暴伤、暴击、大攻击、速度</t>
  </si>
  <si>
    <t>真理</t>
  </si>
  <si>
    <t>萨尔图</t>
  </si>
  <si>
    <t>虚数伤害</t>
  </si>
  <si>
    <t>砂金</t>
  </si>
  <si>
    <t>圣骑士</t>
  </si>
  <si>
    <t>大防御、暴击、暴伤、速度</t>
  </si>
  <si>
    <t>银枝</t>
  </si>
  <si>
    <t>拳王</t>
  </si>
  <si>
    <t>云璃</t>
  </si>
  <si>
    <t>勇烈</t>
  </si>
  <si>
    <t>都兰</t>
  </si>
  <si>
    <t>飞霄</t>
  </si>
  <si>
    <t>龙丹</t>
  </si>
  <si>
    <t>快枪手</t>
  </si>
  <si>
    <t>泰克安</t>
  </si>
  <si>
    <t>镜流</t>
  </si>
  <si>
    <t>速度、大生命、暴击、暴伤</t>
  </si>
  <si>
    <t>彦青</t>
  </si>
  <si>
    <t>冰套</t>
  </si>
  <si>
    <t>符玄</t>
  </si>
  <si>
    <t>铁卫+莳者</t>
  </si>
  <si>
    <t>大生命、大防御、效果抵抗、速度</t>
  </si>
  <si>
    <t>刃</t>
  </si>
  <si>
    <t>莳者</t>
  </si>
  <si>
    <t>景元</t>
  </si>
  <si>
    <t>大公</t>
  </si>
  <si>
    <t>蕉乐园</t>
  </si>
  <si>
    <t>托帕</t>
  </si>
  <si>
    <t>克拉拉</t>
  </si>
  <si>
    <t>杰帕德</t>
  </si>
  <si>
    <t>大防御、速度、效果命中、效果抵抗</t>
  </si>
  <si>
    <t>希儿</t>
  </si>
  <si>
    <t>量子套</t>
  </si>
  <si>
    <t>苍穹</t>
  </si>
  <si>
    <t>红A</t>
  </si>
  <si>
    <t>saber</t>
  </si>
  <si>
    <t>老杨</t>
  </si>
  <si>
    <t>公司</t>
  </si>
  <si>
    <t>姬子</t>
  </si>
  <si>
    <t>银狼</t>
  </si>
  <si>
    <t>速度、大攻击、暴击、暴伤、效果命中</t>
  </si>
  <si>
    <t>主词条分布</t>
  </si>
  <si>
    <t>属性伤害</t>
  </si>
  <si>
    <t>遗器全称</t>
  </si>
  <si>
    <t>刷取位置</t>
  </si>
  <si>
    <t>简称1</t>
  </si>
  <si>
    <t>再创天地的救世主</t>
  </si>
  <si>
    <t>隐救之径</t>
  </si>
  <si>
    <t>自匿星芒的隐士</t>
  </si>
  <si>
    <t>闪耀功勋的魔法少女</t>
  </si>
  <si>
    <t>魔占之径</t>
  </si>
  <si>
    <t>魔法少女</t>
  </si>
  <si>
    <t>应天涉远的卜者</t>
  </si>
  <si>
    <t>卜者</t>
  </si>
  <si>
    <t>恶海逐波的船长</t>
  </si>
  <si>
    <t>雳涌之径</t>
  </si>
  <si>
    <t>烈阳惊雷的女武神</t>
  </si>
  <si>
    <t>凯歌祝捷的英豪</t>
  </si>
  <si>
    <t>弦歌之径</t>
  </si>
  <si>
    <t>英豪</t>
  </si>
  <si>
    <t>哀歌覆国的诗人</t>
  </si>
  <si>
    <t>重循苦旅的司铎</t>
  </si>
  <si>
    <t>迷识之径</t>
  </si>
  <si>
    <t>识海迷坠的学者</t>
  </si>
  <si>
    <t>荡除虫灾的铁骑</t>
  </si>
  <si>
    <t>勇骑之径</t>
  </si>
  <si>
    <t>风举云飞的勇烈</t>
  </si>
  <si>
    <t>死水深潜的先驱</t>
  </si>
  <si>
    <t>梦潜之径</t>
  </si>
  <si>
    <t>机心戏梦的钟表匠</t>
  </si>
  <si>
    <t>钟表匠</t>
  </si>
  <si>
    <t>毁烬焚骨的大公</t>
  </si>
  <si>
    <t>幽冥之径</t>
  </si>
  <si>
    <t>大公、追击</t>
  </si>
  <si>
    <t>幽锁深牢的系囚</t>
  </si>
  <si>
    <t>宝命长存的莳者</t>
  </si>
  <si>
    <t>药使之径</t>
  </si>
  <si>
    <t>骇域漫游的信使</t>
  </si>
  <si>
    <t>熔岩锻铸的火匠</t>
  </si>
  <si>
    <t>野焰之径</t>
  </si>
  <si>
    <t>火匠、火套</t>
  </si>
  <si>
    <t>盗匪荒漠的废土客</t>
  </si>
  <si>
    <t>废土客</t>
  </si>
  <si>
    <t>净庭教宗的圣骑士</t>
  </si>
  <si>
    <t>圣颂之径</t>
  </si>
  <si>
    <t>激奏雷电的乐队</t>
  </si>
  <si>
    <t>乐队、雷套</t>
  </si>
  <si>
    <t>戍卫风雪的铁卫</t>
  </si>
  <si>
    <t>睿治之径</t>
  </si>
  <si>
    <t>铁卫</t>
  </si>
  <si>
    <t>繁星璀璨的天才</t>
  </si>
  <si>
    <t>天才、量子套</t>
  </si>
  <si>
    <t>云无留迹的过客</t>
  </si>
  <si>
    <t>漂泊之径</t>
  </si>
  <si>
    <t>过客、奶套</t>
  </si>
  <si>
    <t>野穗伴行的快枪手</t>
  </si>
  <si>
    <t>街头出身的拳王</t>
  </si>
  <si>
    <t>迅拳之径</t>
  </si>
  <si>
    <t>拳王、物理套</t>
  </si>
  <si>
    <t>流星追迹的怪盗</t>
  </si>
  <si>
    <t>密林卧雪的猎人</t>
  </si>
  <si>
    <t>霜风之径</t>
  </si>
  <si>
    <t>猎人、冰套</t>
  </si>
  <si>
    <t>晨昏交界的翔鹰</t>
  </si>
  <si>
    <t>翔鹰、风套</t>
  </si>
  <si>
    <t>沉陆海域的露莎卡</t>
  </si>
  <si>
    <t>虫役饥肠</t>
  </si>
  <si>
    <t>奇想蕉乐园</t>
  </si>
  <si>
    <t>零号关卡朋克洛德</t>
  </si>
  <si>
    <t>鎏金追忆</t>
  </si>
  <si>
    <t>朋克</t>
  </si>
  <si>
    <t>千星荟萃之城</t>
  </si>
  <si>
    <t>千星</t>
  </si>
  <si>
    <t>永恒之地翁法罗斯</t>
  </si>
  <si>
    <t>西风丛中</t>
  </si>
  <si>
    <t>永恒</t>
  </si>
  <si>
    <t>天国@直播间</t>
  </si>
  <si>
    <t>天国</t>
  </si>
  <si>
    <t>妖精织梦的乐园</t>
  </si>
  <si>
    <t>月下朱殷</t>
  </si>
  <si>
    <t>沉欢醉饮的海隅</t>
  </si>
  <si>
    <t>海隅、海埂</t>
  </si>
  <si>
    <t>谧宁拾骨地</t>
  </si>
  <si>
    <t>纷争不休</t>
  </si>
  <si>
    <t>拾骨地、哀地</t>
  </si>
  <si>
    <t>渊思寂虑的巨树</t>
  </si>
  <si>
    <t>巨树、树庭</t>
  </si>
  <si>
    <t>奔狼的都蓝王朝</t>
  </si>
  <si>
    <t>永恒笑剧</t>
  </si>
  <si>
    <t>都兰、都蓝</t>
  </si>
  <si>
    <t>劫火莲灯铸炼宫</t>
  </si>
  <si>
    <t>无主荒星茨冈尼亚</t>
  </si>
  <si>
    <t>伴你入眠</t>
  </si>
  <si>
    <t>荒星</t>
  </si>
  <si>
    <t>出云显世与高天神国</t>
  </si>
  <si>
    <t>苍穹战线格拉默</t>
  </si>
  <si>
    <t>天剑如雨</t>
  </si>
  <si>
    <t>梦想之地皮诺康尼</t>
  </si>
  <si>
    <t>梦想</t>
  </si>
  <si>
    <t>繁星竞技场</t>
  </si>
  <si>
    <t>孽果盘生</t>
  </si>
  <si>
    <t>繁星、泰克安</t>
  </si>
  <si>
    <t>折断的龙骨</t>
  </si>
  <si>
    <t>龙骨、伊须</t>
  </si>
  <si>
    <t>筑城者的贝洛伯格</t>
  </si>
  <si>
    <t>百年冻土</t>
  </si>
  <si>
    <t>筑城、贝洛伯格</t>
  </si>
  <si>
    <t>停转的萨尔索图</t>
  </si>
  <si>
    <t>泛银河商业公司</t>
  </si>
  <si>
    <t>温柔话语</t>
  </si>
  <si>
    <t>星体差分机</t>
  </si>
  <si>
    <t>差分机、螺丝</t>
  </si>
  <si>
    <t>盗贼公国塔利亚</t>
  </si>
  <si>
    <t>浴火钢心</t>
  </si>
  <si>
    <t>公国、塔利亚</t>
  </si>
  <si>
    <t>生命的翁瓦克</t>
  </si>
  <si>
    <t>太空封印站</t>
  </si>
  <si>
    <t>坚城不倒</t>
  </si>
  <si>
    <t>太空</t>
  </si>
  <si>
    <t>不老者的仙舟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</si>
</sst>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1" applyNumberFormat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46"/>
  <sheetViews>
    <sheetView tabSelected="1" zoomScale="115" zoomScaleNormal="115" workbookViewId="0">
      <pane ySplit="1" topLeftCell="A2" activePane="bottomLeft" state="frozen"/>
      <selection/>
      <selection pane="bottomLeft" activeCell="E58" sqref="E58"/>
    </sheetView>
  </sheetViews>
  <sheetFormatPr defaultColWidth="9" defaultRowHeight="14.25"/>
  <cols>
    <col min="1" max="1" width="9" style="9"/>
    <col min="2" max="2" width="21" style="9" customWidth="1"/>
    <col min="3" max="3" width="14.25" style="9" customWidth="1"/>
    <col min="4" max="4" width="13.5" style="9" customWidth="1"/>
    <col min="5" max="5" width="38" style="9" customWidth="1"/>
    <col min="6" max="6" width="13" style="9" customWidth="1"/>
    <col min="7" max="7" width="12.5" style="9" customWidth="1"/>
    <col min="8" max="8" width="13" style="9" customWidth="1"/>
    <col min="9" max="9" width="13.25" style="9" customWidth="1"/>
    <col min="10" max="10" width="9" style="10"/>
    <col min="11" max="14" width="9" style="9"/>
    <col min="15" max="15" width="9" style="11"/>
    <col min="19" max="19" width="11.375" customWidth="1"/>
    <col min="20" max="20" width="11" customWidth="1"/>
  </cols>
  <sheetData>
    <row r="1" spans="1:16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3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4" t="s">
        <v>14</v>
      </c>
      <c r="P1" t="s">
        <v>15</v>
      </c>
    </row>
    <row r="2" hidden="1" spans="1:16">
      <c r="A2" s="9" t="s">
        <v>16</v>
      </c>
      <c r="B2" s="9" t="s">
        <v>17</v>
      </c>
      <c r="C2" s="9" t="s">
        <v>18</v>
      </c>
      <c r="D2" s="9">
        <v>2</v>
      </c>
      <c r="E2" s="9" t="s">
        <v>19</v>
      </c>
      <c r="F2" s="9" t="s">
        <v>20</v>
      </c>
      <c r="G2" s="9" t="s">
        <v>20</v>
      </c>
      <c r="H2" s="9" t="s">
        <v>20</v>
      </c>
      <c r="I2" s="9" t="s">
        <v>20</v>
      </c>
      <c r="J2" s="10">
        <v>6</v>
      </c>
      <c r="K2" s="9">
        <v>5</v>
      </c>
      <c r="L2" s="9">
        <v>3</v>
      </c>
      <c r="M2" s="9">
        <v>4</v>
      </c>
      <c r="N2" s="9">
        <v>3</v>
      </c>
      <c r="O2" s="11">
        <v>3</v>
      </c>
      <c r="P2">
        <f t="shared" ref="P2:P46" si="0">SUM(J2:O2)</f>
        <v>24</v>
      </c>
    </row>
    <row r="3" hidden="1" spans="1:16">
      <c r="A3" s="9" t="s">
        <v>21</v>
      </c>
      <c r="B3" s="9" t="s">
        <v>22</v>
      </c>
      <c r="C3" s="9" t="s">
        <v>23</v>
      </c>
      <c r="D3" s="9">
        <v>2</v>
      </c>
      <c r="E3" s="9" t="s">
        <v>24</v>
      </c>
      <c r="F3" s="9" t="s">
        <v>25</v>
      </c>
      <c r="G3" s="9" t="s">
        <v>26</v>
      </c>
      <c r="H3" s="9" t="s">
        <v>25</v>
      </c>
      <c r="I3" s="9" t="s">
        <v>27</v>
      </c>
      <c r="J3" s="10">
        <v>4</v>
      </c>
      <c r="K3" s="9">
        <v>5</v>
      </c>
      <c r="L3" s="9">
        <v>2</v>
      </c>
      <c r="M3" s="9">
        <v>3</v>
      </c>
      <c r="N3" s="9">
        <v>1</v>
      </c>
      <c r="O3" s="11">
        <v>2</v>
      </c>
      <c r="P3">
        <f t="shared" si="0"/>
        <v>17</v>
      </c>
    </row>
    <row r="4" ht="14" hidden="1" customHeight="1" spans="1:16">
      <c r="A4" s="9" t="s">
        <v>28</v>
      </c>
      <c r="B4" s="9" t="s">
        <v>29</v>
      </c>
      <c r="C4" s="9" t="s">
        <v>18</v>
      </c>
      <c r="D4" s="9">
        <v>3</v>
      </c>
      <c r="E4" s="9" t="s">
        <v>30</v>
      </c>
      <c r="F4" s="9" t="s">
        <v>31</v>
      </c>
      <c r="G4" s="9" t="s">
        <v>26</v>
      </c>
      <c r="H4" s="9" t="s">
        <v>32</v>
      </c>
      <c r="I4" s="9" t="s">
        <v>33</v>
      </c>
      <c r="J4" s="10">
        <v>5</v>
      </c>
      <c r="K4" s="9">
        <v>4</v>
      </c>
      <c r="L4" s="9">
        <v>3</v>
      </c>
      <c r="M4" s="9">
        <v>5</v>
      </c>
      <c r="N4" s="9">
        <v>2</v>
      </c>
      <c r="O4" s="11">
        <v>3</v>
      </c>
      <c r="P4">
        <f t="shared" si="0"/>
        <v>22</v>
      </c>
    </row>
    <row r="5" hidden="1" spans="1:16">
      <c r="A5" s="9" t="s">
        <v>34</v>
      </c>
      <c r="B5" s="9" t="s">
        <v>35</v>
      </c>
      <c r="C5" s="9" t="s">
        <v>18</v>
      </c>
      <c r="D5" s="9">
        <v>3</v>
      </c>
      <c r="E5" s="9" t="s">
        <v>36</v>
      </c>
      <c r="F5" s="9" t="s">
        <v>20</v>
      </c>
      <c r="G5" s="9" t="s">
        <v>26</v>
      </c>
      <c r="H5" s="9" t="s">
        <v>20</v>
      </c>
      <c r="I5" s="9" t="s">
        <v>33</v>
      </c>
      <c r="J5" s="10">
        <v>5</v>
      </c>
      <c r="K5" s="9">
        <v>5</v>
      </c>
      <c r="L5" s="9">
        <v>2</v>
      </c>
      <c r="M5" s="9">
        <v>4</v>
      </c>
      <c r="N5" s="9">
        <v>5</v>
      </c>
      <c r="O5" s="11">
        <v>4</v>
      </c>
      <c r="P5">
        <f t="shared" si="0"/>
        <v>25</v>
      </c>
    </row>
    <row r="6" hidden="1" spans="1:16">
      <c r="A6" s="9" t="s">
        <v>37</v>
      </c>
      <c r="B6" s="9" t="s">
        <v>38</v>
      </c>
      <c r="C6" s="9" t="s">
        <v>39</v>
      </c>
      <c r="D6" s="9">
        <v>3</v>
      </c>
      <c r="E6" s="9" t="s">
        <v>40</v>
      </c>
      <c r="F6" s="9" t="s">
        <v>41</v>
      </c>
      <c r="G6" s="9" t="s">
        <v>26</v>
      </c>
      <c r="H6" s="9" t="s">
        <v>42</v>
      </c>
      <c r="I6" s="9" t="s">
        <v>33</v>
      </c>
      <c r="J6" s="10">
        <v>4</v>
      </c>
      <c r="K6" s="9">
        <v>5</v>
      </c>
      <c r="L6" s="9">
        <v>2</v>
      </c>
      <c r="M6" s="9">
        <v>4</v>
      </c>
      <c r="N6" s="9">
        <v>2</v>
      </c>
      <c r="O6" s="11">
        <v>2</v>
      </c>
      <c r="P6">
        <f t="shared" si="0"/>
        <v>19</v>
      </c>
    </row>
    <row r="7" hidden="1" spans="1:16">
      <c r="A7" s="9" t="s">
        <v>43</v>
      </c>
      <c r="B7" s="9" t="s">
        <v>44</v>
      </c>
      <c r="C7" s="9" t="s">
        <v>45</v>
      </c>
      <c r="D7" s="9">
        <v>3</v>
      </c>
      <c r="E7" s="9" t="s">
        <v>46</v>
      </c>
      <c r="F7" s="9" t="s">
        <v>47</v>
      </c>
      <c r="G7" s="9" t="s">
        <v>20</v>
      </c>
      <c r="H7" s="9" t="s">
        <v>42</v>
      </c>
      <c r="I7" s="9" t="s">
        <v>20</v>
      </c>
      <c r="J7" s="10">
        <v>6</v>
      </c>
      <c r="K7" s="9">
        <v>6</v>
      </c>
      <c r="L7" s="9">
        <v>2</v>
      </c>
      <c r="M7" s="9">
        <v>3</v>
      </c>
      <c r="N7" s="9">
        <v>5</v>
      </c>
      <c r="O7" s="11">
        <v>6</v>
      </c>
      <c r="P7">
        <f t="shared" si="0"/>
        <v>28</v>
      </c>
    </row>
    <row r="8" spans="1:16">
      <c r="A8" s="9" t="s">
        <v>48</v>
      </c>
      <c r="B8" s="9" t="s">
        <v>49</v>
      </c>
      <c r="C8" s="9" t="s">
        <v>50</v>
      </c>
      <c r="D8" s="9">
        <v>3</v>
      </c>
      <c r="E8" s="9" t="s">
        <v>51</v>
      </c>
      <c r="F8" s="9" t="s">
        <v>31</v>
      </c>
      <c r="G8" s="9" t="s">
        <v>25</v>
      </c>
      <c r="H8" s="9" t="s">
        <v>25</v>
      </c>
      <c r="I8" s="9" t="s">
        <v>25</v>
      </c>
      <c r="J8" s="10">
        <v>8</v>
      </c>
      <c r="K8" s="9">
        <v>5</v>
      </c>
      <c r="L8" s="9">
        <v>4</v>
      </c>
      <c r="M8" s="9">
        <v>5</v>
      </c>
      <c r="N8" s="9">
        <v>3</v>
      </c>
      <c r="O8" s="11">
        <v>6</v>
      </c>
      <c r="P8">
        <f t="shared" si="0"/>
        <v>31</v>
      </c>
    </row>
    <row r="9" spans="1:16">
      <c r="A9" s="9" t="s">
        <v>52</v>
      </c>
      <c r="B9" s="9" t="s">
        <v>49</v>
      </c>
      <c r="C9" s="9" t="s">
        <v>50</v>
      </c>
      <c r="D9" s="9">
        <v>3</v>
      </c>
      <c r="E9" s="9" t="s">
        <v>51</v>
      </c>
      <c r="F9" s="9" t="s">
        <v>31</v>
      </c>
      <c r="G9" s="9" t="s">
        <v>25</v>
      </c>
      <c r="H9" s="9" t="s">
        <v>25</v>
      </c>
      <c r="I9" s="9" t="s">
        <v>33</v>
      </c>
      <c r="J9" s="10">
        <v>5</v>
      </c>
      <c r="K9" s="9">
        <v>4</v>
      </c>
      <c r="L9" s="9">
        <v>4</v>
      </c>
      <c r="M9" s="9">
        <v>4</v>
      </c>
      <c r="N9" s="9">
        <v>2</v>
      </c>
      <c r="O9" s="11">
        <v>5</v>
      </c>
      <c r="P9">
        <f t="shared" si="0"/>
        <v>24</v>
      </c>
    </row>
    <row r="10" hidden="1" spans="1:16">
      <c r="A10" s="9" t="s">
        <v>53</v>
      </c>
      <c r="B10" s="9" t="s">
        <v>35</v>
      </c>
      <c r="C10" s="9" t="s">
        <v>18</v>
      </c>
      <c r="D10" s="9">
        <v>3</v>
      </c>
      <c r="E10" s="9" t="s">
        <v>54</v>
      </c>
      <c r="F10" s="9" t="s">
        <v>31</v>
      </c>
      <c r="G10" s="9" t="s">
        <v>26</v>
      </c>
      <c r="H10" s="9" t="s">
        <v>25</v>
      </c>
      <c r="I10" s="9" t="s">
        <v>33</v>
      </c>
      <c r="J10" s="10">
        <v>6</v>
      </c>
      <c r="K10" s="9">
        <v>6</v>
      </c>
      <c r="L10" s="9">
        <v>2</v>
      </c>
      <c r="M10" s="9">
        <v>5</v>
      </c>
      <c r="N10" s="9">
        <v>5</v>
      </c>
      <c r="O10" s="11">
        <v>4</v>
      </c>
      <c r="P10">
        <f t="shared" si="0"/>
        <v>28</v>
      </c>
    </row>
    <row r="11" hidden="1" spans="1:16">
      <c r="A11" s="9" t="s">
        <v>55</v>
      </c>
      <c r="B11" s="9" t="s">
        <v>22</v>
      </c>
      <c r="C11" s="9" t="s">
        <v>23</v>
      </c>
      <c r="D11" s="9">
        <v>3</v>
      </c>
      <c r="E11" s="9" t="s">
        <v>56</v>
      </c>
      <c r="F11" s="9" t="s">
        <v>20</v>
      </c>
      <c r="G11" s="9" t="s">
        <v>26</v>
      </c>
      <c r="H11" s="9" t="s">
        <v>20</v>
      </c>
      <c r="I11" s="9" t="s">
        <v>27</v>
      </c>
      <c r="J11" s="10">
        <v>7</v>
      </c>
      <c r="K11" s="9">
        <v>6</v>
      </c>
      <c r="L11" s="9">
        <v>5</v>
      </c>
      <c r="M11" s="9">
        <v>4</v>
      </c>
      <c r="N11" s="9">
        <v>2</v>
      </c>
      <c r="O11" s="11">
        <v>2</v>
      </c>
      <c r="P11">
        <f t="shared" si="0"/>
        <v>26</v>
      </c>
    </row>
    <row r="12" hidden="1" spans="1:16">
      <c r="A12" s="9" t="s">
        <v>57</v>
      </c>
      <c r="B12" s="9" t="s">
        <v>38</v>
      </c>
      <c r="C12" s="9" t="s">
        <v>39</v>
      </c>
      <c r="D12" s="9">
        <v>3</v>
      </c>
      <c r="E12" s="9" t="s">
        <v>58</v>
      </c>
      <c r="F12" s="9" t="s">
        <v>41</v>
      </c>
      <c r="G12" s="9" t="s">
        <v>26</v>
      </c>
      <c r="H12" s="9" t="s">
        <v>59</v>
      </c>
      <c r="I12" s="9" t="s">
        <v>20</v>
      </c>
      <c r="J12" s="10">
        <v>5</v>
      </c>
      <c r="K12" s="9">
        <v>7</v>
      </c>
      <c r="L12" s="9">
        <v>6</v>
      </c>
      <c r="M12" s="9">
        <v>4</v>
      </c>
      <c r="N12" s="9">
        <v>5</v>
      </c>
      <c r="O12" s="11">
        <v>2</v>
      </c>
      <c r="P12">
        <f t="shared" si="0"/>
        <v>29</v>
      </c>
    </row>
    <row r="13" hidden="1" spans="1:16">
      <c r="A13" s="9" t="s">
        <v>60</v>
      </c>
      <c r="B13" s="9" t="s">
        <v>61</v>
      </c>
      <c r="C13" s="9" t="s">
        <v>62</v>
      </c>
      <c r="D13" s="9">
        <v>3</v>
      </c>
      <c r="E13" s="9" t="s">
        <v>54</v>
      </c>
      <c r="F13" s="9" t="s">
        <v>31</v>
      </c>
      <c r="G13" s="9" t="s">
        <v>26</v>
      </c>
      <c r="H13" s="9" t="s">
        <v>63</v>
      </c>
      <c r="I13" s="9" t="s">
        <v>33</v>
      </c>
      <c r="J13" s="10">
        <v>6</v>
      </c>
      <c r="K13" s="9">
        <v>6</v>
      </c>
      <c r="L13" s="9">
        <v>5</v>
      </c>
      <c r="M13" s="9">
        <v>3</v>
      </c>
      <c r="N13" s="9">
        <v>4</v>
      </c>
      <c r="O13" s="11">
        <v>3</v>
      </c>
      <c r="P13">
        <f t="shared" si="0"/>
        <v>27</v>
      </c>
    </row>
    <row r="14" hidden="1" spans="1:16">
      <c r="A14" s="9" t="s">
        <v>64</v>
      </c>
      <c r="B14" s="9" t="s">
        <v>65</v>
      </c>
      <c r="C14" s="9" t="s">
        <v>66</v>
      </c>
      <c r="D14" s="9">
        <v>3</v>
      </c>
      <c r="E14" s="9" t="s">
        <v>67</v>
      </c>
      <c r="F14" s="9" t="s">
        <v>25</v>
      </c>
      <c r="G14" s="9" t="s">
        <v>26</v>
      </c>
      <c r="H14" s="9" t="s">
        <v>25</v>
      </c>
      <c r="I14" s="9" t="s">
        <v>33</v>
      </c>
      <c r="J14" s="10">
        <v>6</v>
      </c>
      <c r="K14" s="9">
        <v>4</v>
      </c>
      <c r="L14" s="9">
        <v>5</v>
      </c>
      <c r="M14" s="9">
        <v>7</v>
      </c>
      <c r="N14" s="9">
        <v>7</v>
      </c>
      <c r="O14" s="11">
        <v>6</v>
      </c>
      <c r="P14">
        <f t="shared" si="0"/>
        <v>35</v>
      </c>
    </row>
    <row r="15" hidden="1" spans="1:16">
      <c r="A15" s="9" t="s">
        <v>68</v>
      </c>
      <c r="B15" s="9" t="s">
        <v>22</v>
      </c>
      <c r="C15" s="9" t="s">
        <v>23</v>
      </c>
      <c r="D15" s="9">
        <v>3</v>
      </c>
      <c r="E15" s="9" t="s">
        <v>69</v>
      </c>
      <c r="F15" s="9" t="s">
        <v>41</v>
      </c>
      <c r="G15" s="9" t="s">
        <v>26</v>
      </c>
      <c r="H15" s="9" t="s">
        <v>25</v>
      </c>
      <c r="I15" s="9" t="s">
        <v>33</v>
      </c>
      <c r="J15" s="10">
        <v>5</v>
      </c>
      <c r="K15" s="9">
        <v>7</v>
      </c>
      <c r="L15" s="9">
        <v>5</v>
      </c>
      <c r="M15" s="9">
        <v>6</v>
      </c>
      <c r="N15" s="9">
        <v>5</v>
      </c>
      <c r="O15" s="11">
        <v>6</v>
      </c>
      <c r="P15">
        <f t="shared" si="0"/>
        <v>34</v>
      </c>
    </row>
    <row r="16" hidden="1" spans="1:16">
      <c r="A16" s="9" t="s">
        <v>70</v>
      </c>
      <c r="B16" s="9" t="s">
        <v>71</v>
      </c>
      <c r="C16" s="9" t="s">
        <v>72</v>
      </c>
      <c r="D16" s="9">
        <v>3</v>
      </c>
      <c r="E16" s="9" t="s">
        <v>40</v>
      </c>
      <c r="F16" s="9" t="s">
        <v>41</v>
      </c>
      <c r="G16" s="9" t="s">
        <v>26</v>
      </c>
      <c r="H16" s="9" t="s">
        <v>73</v>
      </c>
      <c r="I16" s="9" t="s">
        <v>33</v>
      </c>
      <c r="J16" s="15">
        <v>5</v>
      </c>
      <c r="K16" s="9">
        <v>5</v>
      </c>
      <c r="L16" s="9">
        <v>4</v>
      </c>
      <c r="M16" s="9">
        <v>2</v>
      </c>
      <c r="N16" s="9">
        <v>5</v>
      </c>
      <c r="O16" s="11">
        <v>3</v>
      </c>
      <c r="P16">
        <f t="shared" si="0"/>
        <v>24</v>
      </c>
    </row>
    <row r="17" hidden="1" spans="1:16">
      <c r="A17" s="9" t="s">
        <v>74</v>
      </c>
      <c r="B17" s="9" t="s">
        <v>75</v>
      </c>
      <c r="C17" s="9" t="s">
        <v>76</v>
      </c>
      <c r="D17" s="9">
        <v>3</v>
      </c>
      <c r="E17" s="9" t="s">
        <v>77</v>
      </c>
      <c r="F17" s="9" t="s">
        <v>78</v>
      </c>
      <c r="G17" s="9" t="s">
        <v>25</v>
      </c>
      <c r="H17" s="9" t="s">
        <v>25</v>
      </c>
      <c r="I17" s="9" t="s">
        <v>33</v>
      </c>
      <c r="J17" s="10">
        <v>4</v>
      </c>
      <c r="K17" s="9">
        <v>6</v>
      </c>
      <c r="L17" s="9">
        <v>4</v>
      </c>
      <c r="M17" s="9">
        <v>2</v>
      </c>
      <c r="N17" s="9">
        <v>4</v>
      </c>
      <c r="O17" s="11">
        <v>4</v>
      </c>
      <c r="P17">
        <f t="shared" si="0"/>
        <v>24</v>
      </c>
    </row>
    <row r="18" hidden="1" spans="1:16">
      <c r="A18" s="9" t="s">
        <v>79</v>
      </c>
      <c r="B18" s="9" t="s">
        <v>75</v>
      </c>
      <c r="C18" s="9" t="s">
        <v>62</v>
      </c>
      <c r="D18" s="9">
        <v>3</v>
      </c>
      <c r="E18" s="9" t="s">
        <v>80</v>
      </c>
      <c r="F18" s="9" t="s">
        <v>78</v>
      </c>
      <c r="G18" s="9" t="s">
        <v>25</v>
      </c>
      <c r="H18" s="9" t="s">
        <v>25</v>
      </c>
      <c r="I18" s="9" t="s">
        <v>25</v>
      </c>
      <c r="J18" s="10">
        <v>4</v>
      </c>
      <c r="K18" s="9">
        <v>5</v>
      </c>
      <c r="L18" s="9">
        <v>5</v>
      </c>
      <c r="M18" s="9">
        <v>3</v>
      </c>
      <c r="N18" s="9">
        <v>2</v>
      </c>
      <c r="O18" s="11">
        <v>4</v>
      </c>
      <c r="P18">
        <f t="shared" si="0"/>
        <v>23</v>
      </c>
    </row>
    <row r="19" hidden="1" spans="1:16">
      <c r="A19" s="9" t="s">
        <v>81</v>
      </c>
      <c r="B19" s="9" t="s">
        <v>75</v>
      </c>
      <c r="C19" s="9" t="s">
        <v>62</v>
      </c>
      <c r="D19" s="9">
        <v>3</v>
      </c>
      <c r="E19" s="9" t="s">
        <v>82</v>
      </c>
      <c r="F19" s="9" t="s">
        <v>78</v>
      </c>
      <c r="G19" s="9" t="s">
        <v>25</v>
      </c>
      <c r="H19" s="9" t="s">
        <v>20</v>
      </c>
      <c r="I19" s="9" t="s">
        <v>20</v>
      </c>
      <c r="J19" s="10">
        <v>5</v>
      </c>
      <c r="K19" s="9">
        <v>5</v>
      </c>
      <c r="L19" s="9">
        <v>5</v>
      </c>
      <c r="M19" s="9">
        <v>4</v>
      </c>
      <c r="N19" s="9">
        <v>2</v>
      </c>
      <c r="O19" s="11">
        <v>2</v>
      </c>
      <c r="P19">
        <f t="shared" si="0"/>
        <v>23</v>
      </c>
    </row>
    <row r="20" hidden="1" spans="1:16">
      <c r="A20" s="9" t="s">
        <v>83</v>
      </c>
      <c r="B20" s="9" t="s">
        <v>61</v>
      </c>
      <c r="C20" s="9" t="s">
        <v>76</v>
      </c>
      <c r="D20" s="9">
        <v>3</v>
      </c>
      <c r="E20" s="9" t="s">
        <v>54</v>
      </c>
      <c r="F20" s="9" t="s">
        <v>31</v>
      </c>
      <c r="G20" s="9" t="s">
        <v>26</v>
      </c>
      <c r="H20" s="9" t="s">
        <v>25</v>
      </c>
      <c r="I20" s="9" t="s">
        <v>33</v>
      </c>
      <c r="J20" s="10">
        <v>6</v>
      </c>
      <c r="K20" s="9">
        <v>4</v>
      </c>
      <c r="L20" s="9">
        <v>3</v>
      </c>
      <c r="M20" s="9">
        <v>4</v>
      </c>
      <c r="N20" s="9">
        <v>1</v>
      </c>
      <c r="O20" s="11">
        <v>2</v>
      </c>
      <c r="P20">
        <f t="shared" si="0"/>
        <v>20</v>
      </c>
    </row>
    <row r="21" hidden="1" spans="1:16">
      <c r="A21" s="9" t="s">
        <v>84</v>
      </c>
      <c r="B21" s="9" t="s">
        <v>38</v>
      </c>
      <c r="C21" s="9" t="s">
        <v>39</v>
      </c>
      <c r="D21" s="9">
        <v>3</v>
      </c>
      <c r="E21" s="9" t="s">
        <v>85</v>
      </c>
      <c r="F21" s="9" t="s">
        <v>20</v>
      </c>
      <c r="G21" s="9" t="s">
        <v>26</v>
      </c>
      <c r="H21" s="9" t="s">
        <v>86</v>
      </c>
      <c r="I21" s="9" t="s">
        <v>20</v>
      </c>
      <c r="J21" s="10">
        <v>6</v>
      </c>
      <c r="K21" s="9">
        <v>6</v>
      </c>
      <c r="L21" s="9">
        <v>5</v>
      </c>
      <c r="M21" s="9">
        <v>4</v>
      </c>
      <c r="N21" s="9">
        <v>5</v>
      </c>
      <c r="O21" s="11">
        <v>6</v>
      </c>
      <c r="P21">
        <f t="shared" si="0"/>
        <v>32</v>
      </c>
    </row>
    <row r="22" spans="1:16">
      <c r="A22" s="9" t="s">
        <v>87</v>
      </c>
      <c r="B22" s="9" t="s">
        <v>88</v>
      </c>
      <c r="C22" s="9" t="s">
        <v>89</v>
      </c>
      <c r="D22" s="9">
        <v>4</v>
      </c>
      <c r="E22" s="9" t="s">
        <v>90</v>
      </c>
      <c r="F22" s="9" t="s">
        <v>78</v>
      </c>
      <c r="G22" s="9" t="s">
        <v>26</v>
      </c>
      <c r="H22" s="9" t="s">
        <v>25</v>
      </c>
      <c r="I22" s="9" t="s">
        <v>33</v>
      </c>
      <c r="J22" s="10">
        <v>6</v>
      </c>
      <c r="K22" s="9">
        <v>7</v>
      </c>
      <c r="L22" s="9">
        <v>3</v>
      </c>
      <c r="M22" s="9">
        <v>4</v>
      </c>
      <c r="N22" s="9">
        <v>4</v>
      </c>
      <c r="O22" s="11">
        <v>1</v>
      </c>
      <c r="P22">
        <f t="shared" si="0"/>
        <v>25</v>
      </c>
    </row>
    <row r="23" hidden="1" spans="1:16">
      <c r="A23" s="9" t="s">
        <v>91</v>
      </c>
      <c r="B23" s="9" t="s">
        <v>92</v>
      </c>
      <c r="C23" s="9" t="s">
        <v>18</v>
      </c>
      <c r="D23" s="9">
        <v>4</v>
      </c>
      <c r="E23" s="9" t="s">
        <v>93</v>
      </c>
      <c r="F23" s="9" t="s">
        <v>47</v>
      </c>
      <c r="G23" s="9" t="s">
        <v>26</v>
      </c>
      <c r="H23" s="9" t="s">
        <v>94</v>
      </c>
      <c r="I23" s="9" t="s">
        <v>20</v>
      </c>
      <c r="J23" s="10">
        <v>7</v>
      </c>
      <c r="K23" s="9">
        <v>6</v>
      </c>
      <c r="L23" s="9">
        <v>7</v>
      </c>
      <c r="M23" s="9">
        <v>1</v>
      </c>
      <c r="N23" s="9">
        <v>3</v>
      </c>
      <c r="O23" s="11">
        <v>6</v>
      </c>
      <c r="P23">
        <f t="shared" si="0"/>
        <v>30</v>
      </c>
    </row>
    <row r="24" hidden="1" spans="1:16">
      <c r="A24" s="9" t="s">
        <v>95</v>
      </c>
      <c r="B24" s="9" t="s">
        <v>96</v>
      </c>
      <c r="C24" s="9" t="s">
        <v>97</v>
      </c>
      <c r="D24" s="9">
        <v>4</v>
      </c>
      <c r="E24" s="9" t="s">
        <v>93</v>
      </c>
      <c r="F24" s="9" t="s">
        <v>31</v>
      </c>
      <c r="G24" s="9" t="s">
        <v>20</v>
      </c>
      <c r="H24" s="9" t="s">
        <v>32</v>
      </c>
      <c r="I24" s="9" t="s">
        <v>20</v>
      </c>
      <c r="J24" s="10">
        <v>6</v>
      </c>
      <c r="K24" s="9">
        <v>6</v>
      </c>
      <c r="L24" s="9">
        <v>5</v>
      </c>
      <c r="M24" s="9">
        <v>5</v>
      </c>
      <c r="N24" s="9">
        <v>7</v>
      </c>
      <c r="O24" s="11">
        <v>2</v>
      </c>
      <c r="P24">
        <f t="shared" si="0"/>
        <v>31</v>
      </c>
    </row>
    <row r="25" hidden="1" spans="1:16">
      <c r="A25" s="9" t="s">
        <v>98</v>
      </c>
      <c r="B25" s="9" t="s">
        <v>99</v>
      </c>
      <c r="C25" s="9" t="s">
        <v>18</v>
      </c>
      <c r="D25" s="9">
        <v>4</v>
      </c>
      <c r="E25" s="9" t="s">
        <v>100</v>
      </c>
      <c r="F25" s="9" t="s">
        <v>20</v>
      </c>
      <c r="G25" s="9" t="s">
        <v>20</v>
      </c>
      <c r="H25" s="9" t="s">
        <v>20</v>
      </c>
      <c r="I25" s="9" t="s">
        <v>33</v>
      </c>
      <c r="J25" s="10">
        <v>7</v>
      </c>
      <c r="K25" s="9">
        <v>4</v>
      </c>
      <c r="L25" s="9">
        <v>2</v>
      </c>
      <c r="M25" s="9">
        <v>2</v>
      </c>
      <c r="N25" s="9">
        <v>1</v>
      </c>
      <c r="O25" s="11">
        <v>4</v>
      </c>
      <c r="P25">
        <f t="shared" si="0"/>
        <v>20</v>
      </c>
    </row>
    <row r="26" hidden="1" spans="1:16">
      <c r="A26" s="9" t="s">
        <v>101</v>
      </c>
      <c r="B26" s="9" t="s">
        <v>102</v>
      </c>
      <c r="C26" s="9" t="s">
        <v>97</v>
      </c>
      <c r="D26" s="9">
        <v>4</v>
      </c>
      <c r="E26" s="9" t="s">
        <v>103</v>
      </c>
      <c r="F26" s="9" t="s">
        <v>31</v>
      </c>
      <c r="G26" s="9" t="s">
        <v>20</v>
      </c>
      <c r="H26" s="9" t="s">
        <v>86</v>
      </c>
      <c r="I26" s="9" t="s">
        <v>20</v>
      </c>
      <c r="J26" s="10">
        <v>5</v>
      </c>
      <c r="K26" s="9">
        <v>8</v>
      </c>
      <c r="L26" s="9">
        <v>3</v>
      </c>
      <c r="M26" s="9">
        <v>2</v>
      </c>
      <c r="N26" s="9">
        <v>5</v>
      </c>
      <c r="O26" s="11">
        <v>5</v>
      </c>
      <c r="P26">
        <f t="shared" si="0"/>
        <v>28</v>
      </c>
    </row>
    <row r="27" hidden="1" spans="1:16">
      <c r="A27" s="9" t="s">
        <v>104</v>
      </c>
      <c r="B27" s="9" t="s">
        <v>102</v>
      </c>
      <c r="C27" s="9" t="s">
        <v>105</v>
      </c>
      <c r="D27" s="9">
        <v>4</v>
      </c>
      <c r="E27" s="9" t="s">
        <v>103</v>
      </c>
      <c r="F27" s="9" t="s">
        <v>31</v>
      </c>
      <c r="G27" s="9" t="s">
        <v>20</v>
      </c>
      <c r="H27" s="9" t="s">
        <v>106</v>
      </c>
      <c r="I27" s="9" t="s">
        <v>20</v>
      </c>
      <c r="J27" s="10">
        <v>5</v>
      </c>
      <c r="K27" s="9">
        <v>5</v>
      </c>
      <c r="L27" s="9">
        <v>1</v>
      </c>
      <c r="M27" s="9">
        <v>5</v>
      </c>
      <c r="N27" s="9">
        <v>5</v>
      </c>
      <c r="O27" s="11">
        <v>2</v>
      </c>
      <c r="P27">
        <f t="shared" si="0"/>
        <v>23</v>
      </c>
    </row>
    <row r="28" hidden="1" spans="1:16">
      <c r="A28" s="9" t="s">
        <v>107</v>
      </c>
      <c r="B28" s="9" t="s">
        <v>108</v>
      </c>
      <c r="C28" s="9" t="s">
        <v>76</v>
      </c>
      <c r="D28" s="9">
        <v>4</v>
      </c>
      <c r="E28" s="9" t="s">
        <v>109</v>
      </c>
      <c r="F28" s="9" t="s">
        <v>31</v>
      </c>
      <c r="G28" s="9" t="s">
        <v>26</v>
      </c>
      <c r="H28" s="9" t="s">
        <v>63</v>
      </c>
      <c r="I28" s="9" t="s">
        <v>63</v>
      </c>
      <c r="J28" s="10">
        <v>3</v>
      </c>
      <c r="K28" s="9">
        <v>5</v>
      </c>
      <c r="L28" s="9">
        <v>3</v>
      </c>
      <c r="M28" s="9">
        <v>1</v>
      </c>
      <c r="N28" s="9">
        <v>4</v>
      </c>
      <c r="O28" s="11">
        <v>4</v>
      </c>
      <c r="P28">
        <f t="shared" si="0"/>
        <v>20</v>
      </c>
    </row>
    <row r="29" hidden="1" spans="1:16">
      <c r="A29" s="9" t="s">
        <v>110</v>
      </c>
      <c r="B29" s="9" t="s">
        <v>111</v>
      </c>
      <c r="C29" s="9" t="s">
        <v>105</v>
      </c>
      <c r="D29" s="9">
        <v>4</v>
      </c>
      <c r="E29" s="9" t="s">
        <v>93</v>
      </c>
      <c r="F29" s="9" t="s">
        <v>47</v>
      </c>
      <c r="G29" s="9" t="s">
        <v>20</v>
      </c>
      <c r="H29" s="9" t="s">
        <v>42</v>
      </c>
      <c r="I29" s="9" t="s">
        <v>20</v>
      </c>
      <c r="J29" s="10">
        <v>6</v>
      </c>
      <c r="K29" s="9">
        <v>5</v>
      </c>
      <c r="L29" s="9">
        <v>1</v>
      </c>
      <c r="M29" s="9">
        <v>4</v>
      </c>
      <c r="N29" s="9">
        <v>4</v>
      </c>
      <c r="O29" s="11">
        <v>2</v>
      </c>
      <c r="P29">
        <f t="shared" si="0"/>
        <v>22</v>
      </c>
    </row>
    <row r="30" hidden="1" spans="1:16">
      <c r="A30" s="9" t="s">
        <v>112</v>
      </c>
      <c r="B30" s="9" t="s">
        <v>113</v>
      </c>
      <c r="C30" s="9" t="s">
        <v>114</v>
      </c>
      <c r="D30" s="9">
        <v>4</v>
      </c>
      <c r="E30" s="9" t="s">
        <v>93</v>
      </c>
      <c r="F30" s="9" t="s">
        <v>47</v>
      </c>
      <c r="G30" s="9" t="s">
        <v>20</v>
      </c>
      <c r="H30" s="9" t="s">
        <v>42</v>
      </c>
      <c r="I30" s="9" t="s">
        <v>20</v>
      </c>
      <c r="J30" s="10">
        <v>6</v>
      </c>
      <c r="K30" s="9">
        <v>6</v>
      </c>
      <c r="L30" s="9">
        <v>4</v>
      </c>
      <c r="M30" s="9">
        <v>5</v>
      </c>
      <c r="N30" s="9">
        <v>4</v>
      </c>
      <c r="O30" s="11">
        <v>6</v>
      </c>
      <c r="P30">
        <f t="shared" si="0"/>
        <v>31</v>
      </c>
    </row>
    <row r="31" hidden="1" spans="1:16">
      <c r="A31" s="9" t="s">
        <v>115</v>
      </c>
      <c r="B31" s="9" t="s">
        <v>113</v>
      </c>
      <c r="C31" s="9" t="s">
        <v>114</v>
      </c>
      <c r="D31" s="9">
        <v>4</v>
      </c>
      <c r="E31" s="9" t="s">
        <v>93</v>
      </c>
      <c r="F31" s="9" t="s">
        <v>31</v>
      </c>
      <c r="G31" s="9" t="s">
        <v>26</v>
      </c>
      <c r="H31" s="9" t="s">
        <v>59</v>
      </c>
      <c r="I31" s="9" t="s">
        <v>20</v>
      </c>
      <c r="J31" s="10">
        <v>7</v>
      </c>
      <c r="K31" s="9">
        <v>7</v>
      </c>
      <c r="L31" s="9">
        <v>7</v>
      </c>
      <c r="M31" s="9">
        <v>2</v>
      </c>
      <c r="N31" s="9">
        <v>7</v>
      </c>
      <c r="O31" s="11">
        <v>6</v>
      </c>
      <c r="P31">
        <f t="shared" si="0"/>
        <v>36</v>
      </c>
    </row>
    <row r="32" hidden="1" spans="1:16">
      <c r="A32" s="9" t="s">
        <v>116</v>
      </c>
      <c r="B32" s="9" t="s">
        <v>117</v>
      </c>
      <c r="C32" s="9" t="s">
        <v>118</v>
      </c>
      <c r="D32" s="9">
        <v>4</v>
      </c>
      <c r="E32" s="9" t="s">
        <v>93</v>
      </c>
      <c r="F32" s="9" t="s">
        <v>31</v>
      </c>
      <c r="G32" s="9" t="s">
        <v>20</v>
      </c>
      <c r="H32" s="9" t="s">
        <v>106</v>
      </c>
      <c r="I32" s="9" t="s">
        <v>20</v>
      </c>
      <c r="J32" s="10">
        <v>6</v>
      </c>
      <c r="K32" s="9">
        <v>6</v>
      </c>
      <c r="L32" s="9">
        <v>6</v>
      </c>
      <c r="M32" s="9">
        <v>4</v>
      </c>
      <c r="N32" s="9">
        <v>2</v>
      </c>
      <c r="O32" s="11">
        <v>4</v>
      </c>
      <c r="P32">
        <f t="shared" si="0"/>
        <v>28</v>
      </c>
    </row>
    <row r="33" spans="1:16">
      <c r="A33" s="9" t="s">
        <v>119</v>
      </c>
      <c r="B33" s="9" t="s">
        <v>96</v>
      </c>
      <c r="C33" s="9" t="s">
        <v>50</v>
      </c>
      <c r="D33" s="9">
        <v>4</v>
      </c>
      <c r="E33" s="9" t="s">
        <v>120</v>
      </c>
      <c r="F33" s="9" t="s">
        <v>31</v>
      </c>
      <c r="G33" s="9" t="s">
        <v>26</v>
      </c>
      <c r="H33" s="9" t="s">
        <v>32</v>
      </c>
      <c r="I33" s="9" t="s">
        <v>33</v>
      </c>
      <c r="J33" s="10">
        <v>8</v>
      </c>
      <c r="K33" s="9">
        <v>5</v>
      </c>
      <c r="L33" s="9">
        <v>2</v>
      </c>
      <c r="M33" s="9">
        <v>5</v>
      </c>
      <c r="N33" s="9">
        <v>4</v>
      </c>
      <c r="O33" s="11">
        <v>4</v>
      </c>
      <c r="P33">
        <f t="shared" si="0"/>
        <v>28</v>
      </c>
    </row>
    <row r="34" hidden="1" spans="1:16">
      <c r="A34" s="9" t="s">
        <v>121</v>
      </c>
      <c r="B34" s="9" t="s">
        <v>122</v>
      </c>
      <c r="C34" s="9" t="s">
        <v>105</v>
      </c>
      <c r="D34" s="9">
        <v>4</v>
      </c>
      <c r="E34" s="9" t="s">
        <v>93</v>
      </c>
      <c r="F34" s="9" t="s">
        <v>31</v>
      </c>
      <c r="G34" s="9" t="s">
        <v>26</v>
      </c>
      <c r="H34" s="9" t="s">
        <v>32</v>
      </c>
      <c r="I34" s="9" t="s">
        <v>20</v>
      </c>
      <c r="J34" s="10">
        <v>8</v>
      </c>
      <c r="K34" s="9">
        <v>6</v>
      </c>
      <c r="L34" s="9">
        <v>2</v>
      </c>
      <c r="M34" s="9">
        <v>5</v>
      </c>
      <c r="N34" s="9">
        <v>2</v>
      </c>
      <c r="O34" s="11">
        <v>1</v>
      </c>
      <c r="P34">
        <f t="shared" si="0"/>
        <v>24</v>
      </c>
    </row>
    <row r="35" hidden="1" spans="1:16">
      <c r="A35" s="9" t="s">
        <v>123</v>
      </c>
      <c r="B35" s="9" t="s">
        <v>124</v>
      </c>
      <c r="C35" s="9" t="s">
        <v>62</v>
      </c>
      <c r="D35" s="9">
        <v>4</v>
      </c>
      <c r="E35" s="9" t="s">
        <v>125</v>
      </c>
      <c r="F35" s="9" t="s">
        <v>25</v>
      </c>
      <c r="G35" s="9" t="s">
        <v>26</v>
      </c>
      <c r="H35" s="9" t="s">
        <v>25</v>
      </c>
      <c r="I35" s="9" t="s">
        <v>33</v>
      </c>
      <c r="J35" s="10">
        <v>4</v>
      </c>
      <c r="K35" s="9">
        <v>6</v>
      </c>
      <c r="L35" s="9">
        <v>3</v>
      </c>
      <c r="M35" s="9">
        <v>1</v>
      </c>
      <c r="N35" s="9">
        <v>5</v>
      </c>
      <c r="O35" s="11">
        <v>4</v>
      </c>
      <c r="P35">
        <f t="shared" si="0"/>
        <v>23</v>
      </c>
    </row>
    <row r="36" spans="1:16">
      <c r="A36" s="9" t="s">
        <v>126</v>
      </c>
      <c r="B36" s="9" t="s">
        <v>127</v>
      </c>
      <c r="C36" s="9" t="s">
        <v>50</v>
      </c>
      <c r="D36" s="9">
        <v>4</v>
      </c>
      <c r="E36" s="9" t="s">
        <v>120</v>
      </c>
      <c r="F36" s="9" t="s">
        <v>47</v>
      </c>
      <c r="G36" s="9" t="s">
        <v>26</v>
      </c>
      <c r="H36" s="9" t="s">
        <v>59</v>
      </c>
      <c r="I36" s="9" t="s">
        <v>25</v>
      </c>
      <c r="J36" s="10">
        <v>8</v>
      </c>
      <c r="K36" s="9">
        <v>5</v>
      </c>
      <c r="L36" s="9">
        <v>7</v>
      </c>
      <c r="M36" s="9">
        <v>3</v>
      </c>
      <c r="N36" s="9">
        <v>4</v>
      </c>
      <c r="O36" s="11">
        <v>2</v>
      </c>
      <c r="P36">
        <f t="shared" si="0"/>
        <v>29</v>
      </c>
    </row>
    <row r="37" hidden="1" spans="1:16">
      <c r="A37" s="9" t="s">
        <v>128</v>
      </c>
      <c r="B37" s="9" t="s">
        <v>129</v>
      </c>
      <c r="C37" s="9" t="s">
        <v>130</v>
      </c>
      <c r="D37" s="9">
        <v>4</v>
      </c>
      <c r="E37" s="9" t="s">
        <v>93</v>
      </c>
      <c r="F37" s="9" t="s">
        <v>47</v>
      </c>
      <c r="G37" s="9" t="s">
        <v>20</v>
      </c>
      <c r="H37" s="9" t="s">
        <v>20</v>
      </c>
      <c r="I37" s="9" t="s">
        <v>20</v>
      </c>
      <c r="J37" s="10">
        <v>7</v>
      </c>
      <c r="K37" s="9">
        <v>5</v>
      </c>
      <c r="L37" s="9">
        <v>3</v>
      </c>
      <c r="M37" s="9">
        <v>3</v>
      </c>
      <c r="N37" s="9">
        <v>7</v>
      </c>
      <c r="O37" s="11">
        <v>4</v>
      </c>
      <c r="P37">
        <f t="shared" si="0"/>
        <v>29</v>
      </c>
    </row>
    <row r="38" hidden="1" spans="1:16">
      <c r="A38" s="9" t="s">
        <v>131</v>
      </c>
      <c r="B38" s="9" t="s">
        <v>129</v>
      </c>
      <c r="C38" s="9" t="s">
        <v>105</v>
      </c>
      <c r="D38" s="9">
        <v>4</v>
      </c>
      <c r="E38" s="9" t="s">
        <v>93</v>
      </c>
      <c r="F38" s="9" t="s">
        <v>47</v>
      </c>
      <c r="G38" s="9" t="s">
        <v>20</v>
      </c>
      <c r="H38" s="9" t="s">
        <v>73</v>
      </c>
      <c r="I38" s="9" t="s">
        <v>20</v>
      </c>
      <c r="J38" s="10">
        <v>6</v>
      </c>
      <c r="K38" s="9">
        <v>7</v>
      </c>
      <c r="L38" s="9">
        <v>4</v>
      </c>
      <c r="M38" s="9">
        <v>8</v>
      </c>
      <c r="N38" s="9">
        <v>6</v>
      </c>
      <c r="O38" s="11">
        <v>2</v>
      </c>
      <c r="P38">
        <f t="shared" si="0"/>
        <v>33</v>
      </c>
    </row>
    <row r="39" hidden="1" spans="1:16">
      <c r="A39" s="9" t="s">
        <v>132</v>
      </c>
      <c r="B39" s="9" t="s">
        <v>49</v>
      </c>
      <c r="C39" s="9" t="s">
        <v>114</v>
      </c>
      <c r="D39" s="9">
        <v>4</v>
      </c>
      <c r="E39" s="9" t="s">
        <v>93</v>
      </c>
      <c r="F39" s="9" t="s">
        <v>31</v>
      </c>
      <c r="G39" s="9" t="s">
        <v>20</v>
      </c>
      <c r="H39" s="9" t="s">
        <v>42</v>
      </c>
      <c r="I39" s="9" t="s">
        <v>20</v>
      </c>
      <c r="J39" s="10">
        <v>7</v>
      </c>
      <c r="K39" s="9">
        <v>7</v>
      </c>
      <c r="L39" s="9">
        <v>5</v>
      </c>
      <c r="M39" s="9">
        <v>1</v>
      </c>
      <c r="N39" s="9">
        <v>4</v>
      </c>
      <c r="O39" s="11">
        <v>4</v>
      </c>
      <c r="P39">
        <f t="shared" si="0"/>
        <v>28</v>
      </c>
    </row>
    <row r="40" hidden="1" spans="1:16">
      <c r="A40" s="9" t="s">
        <v>133</v>
      </c>
      <c r="B40" s="9" t="s">
        <v>108</v>
      </c>
      <c r="C40" s="9" t="s">
        <v>76</v>
      </c>
      <c r="D40" s="9">
        <v>4</v>
      </c>
      <c r="E40" s="9" t="s">
        <v>134</v>
      </c>
      <c r="F40" s="9" t="s">
        <v>63</v>
      </c>
      <c r="G40" s="9" t="s">
        <v>63</v>
      </c>
      <c r="H40" s="9" t="s">
        <v>63</v>
      </c>
      <c r="I40" s="9" t="s">
        <v>33</v>
      </c>
      <c r="J40" s="10">
        <v>3</v>
      </c>
      <c r="K40" s="9">
        <v>7</v>
      </c>
      <c r="L40" s="9">
        <v>3</v>
      </c>
      <c r="M40" s="9">
        <v>3</v>
      </c>
      <c r="N40" s="9">
        <v>5</v>
      </c>
      <c r="O40" s="11">
        <v>3</v>
      </c>
      <c r="P40">
        <f t="shared" si="0"/>
        <v>24</v>
      </c>
    </row>
    <row r="41" hidden="1" spans="1:16">
      <c r="A41" s="9" t="s">
        <v>135</v>
      </c>
      <c r="B41" s="9" t="s">
        <v>136</v>
      </c>
      <c r="C41" s="9" t="s">
        <v>137</v>
      </c>
      <c r="D41" s="9">
        <v>4</v>
      </c>
      <c r="E41" s="9" t="s">
        <v>93</v>
      </c>
      <c r="F41" s="9" t="s">
        <v>31</v>
      </c>
      <c r="G41" s="9" t="s">
        <v>26</v>
      </c>
      <c r="H41" s="9" t="s">
        <v>94</v>
      </c>
      <c r="I41" s="9" t="s">
        <v>20</v>
      </c>
      <c r="J41" s="10">
        <v>7</v>
      </c>
      <c r="K41" s="9">
        <v>6</v>
      </c>
      <c r="L41" s="9">
        <v>3</v>
      </c>
      <c r="M41" s="9">
        <v>4</v>
      </c>
      <c r="N41" s="9">
        <v>3</v>
      </c>
      <c r="O41" s="11">
        <v>6</v>
      </c>
      <c r="P41">
        <f t="shared" si="0"/>
        <v>29</v>
      </c>
    </row>
    <row r="42" hidden="1" spans="1:16">
      <c r="A42" s="9" t="s">
        <v>138</v>
      </c>
      <c r="B42" s="9" t="s">
        <v>136</v>
      </c>
      <c r="C42" s="9" t="s">
        <v>118</v>
      </c>
      <c r="D42" s="9">
        <v>4</v>
      </c>
      <c r="E42" s="9" t="s">
        <v>93</v>
      </c>
      <c r="F42" s="9" t="s">
        <v>47</v>
      </c>
      <c r="G42" s="9" t="s">
        <v>20</v>
      </c>
      <c r="H42" s="9" t="s">
        <v>94</v>
      </c>
      <c r="I42" s="9" t="s">
        <v>20</v>
      </c>
      <c r="J42" s="10">
        <v>5</v>
      </c>
      <c r="K42" s="9">
        <v>6</v>
      </c>
      <c r="L42" s="9">
        <v>5</v>
      </c>
      <c r="M42" s="9">
        <v>5</v>
      </c>
      <c r="N42" s="9">
        <v>4</v>
      </c>
      <c r="O42" s="11">
        <v>4</v>
      </c>
      <c r="P42">
        <f t="shared" si="0"/>
        <v>29</v>
      </c>
    </row>
    <row r="43" hidden="1" spans="1:16">
      <c r="A43" s="9" t="s">
        <v>139</v>
      </c>
      <c r="B43" s="9" t="s">
        <v>44</v>
      </c>
      <c r="C43" s="9" t="s">
        <v>105</v>
      </c>
      <c r="D43" s="9">
        <v>4</v>
      </c>
      <c r="E43" s="9" t="s">
        <v>93</v>
      </c>
      <c r="F43" s="9" t="s">
        <v>31</v>
      </c>
      <c r="G43" s="9" t="s">
        <v>26</v>
      </c>
      <c r="H43" s="9" t="s">
        <v>59</v>
      </c>
      <c r="I43" s="9" t="s">
        <v>20</v>
      </c>
      <c r="J43" s="10">
        <v>6</v>
      </c>
      <c r="K43" s="9">
        <v>5</v>
      </c>
      <c r="L43" s="9">
        <v>5</v>
      </c>
      <c r="M43" s="9">
        <v>5</v>
      </c>
      <c r="N43" s="9">
        <v>4</v>
      </c>
      <c r="O43" s="11">
        <v>5</v>
      </c>
      <c r="P43">
        <f t="shared" si="0"/>
        <v>30</v>
      </c>
    </row>
    <row r="44" hidden="1" spans="1:16">
      <c r="A44" s="9" t="s">
        <v>140</v>
      </c>
      <c r="B44" s="9" t="s">
        <v>117</v>
      </c>
      <c r="C44" s="9" t="s">
        <v>141</v>
      </c>
      <c r="D44" s="9">
        <v>4</v>
      </c>
      <c r="E44" s="9" t="s">
        <v>93</v>
      </c>
      <c r="F44" s="9" t="s">
        <v>41</v>
      </c>
      <c r="G44" s="9" t="s">
        <v>20</v>
      </c>
      <c r="H44" s="9" t="s">
        <v>106</v>
      </c>
      <c r="I44" s="9" t="s">
        <v>20</v>
      </c>
      <c r="J44" s="10">
        <v>6</v>
      </c>
      <c r="K44" s="9">
        <v>5</v>
      </c>
      <c r="L44" s="9">
        <v>4</v>
      </c>
      <c r="M44" s="9">
        <v>4</v>
      </c>
      <c r="N44" s="9">
        <v>4</v>
      </c>
      <c r="O44" s="11">
        <v>1</v>
      </c>
      <c r="P44">
        <f t="shared" si="0"/>
        <v>24</v>
      </c>
    </row>
    <row r="45" hidden="1" spans="1:16">
      <c r="A45" s="9" t="s">
        <v>142</v>
      </c>
      <c r="B45" s="9" t="s">
        <v>129</v>
      </c>
      <c r="C45" s="9" t="s">
        <v>105</v>
      </c>
      <c r="D45" s="9">
        <v>4</v>
      </c>
      <c r="E45" s="9" t="s">
        <v>93</v>
      </c>
      <c r="F45" s="9" t="s">
        <v>47</v>
      </c>
      <c r="G45" s="9" t="s">
        <v>20</v>
      </c>
      <c r="H45" s="9" t="s">
        <v>73</v>
      </c>
      <c r="I45" s="9" t="s">
        <v>20</v>
      </c>
      <c r="J45" s="10">
        <v>6</v>
      </c>
      <c r="K45" s="9">
        <v>6</v>
      </c>
      <c r="L45" s="9">
        <v>3</v>
      </c>
      <c r="M45" s="9">
        <v>5</v>
      </c>
      <c r="N45" s="9">
        <v>5</v>
      </c>
      <c r="O45" s="11">
        <v>2</v>
      </c>
      <c r="P45">
        <f t="shared" si="0"/>
        <v>27</v>
      </c>
    </row>
    <row r="46" hidden="1" spans="1:16">
      <c r="A46" s="9" t="s">
        <v>143</v>
      </c>
      <c r="B46" s="9" t="s">
        <v>71</v>
      </c>
      <c r="C46" s="9" t="s">
        <v>141</v>
      </c>
      <c r="D46" s="9">
        <v>5</v>
      </c>
      <c r="E46" s="9" t="s">
        <v>144</v>
      </c>
      <c r="F46" s="9" t="s">
        <v>41</v>
      </c>
      <c r="G46" s="9" t="s">
        <v>26</v>
      </c>
      <c r="H46" s="9" t="s">
        <v>94</v>
      </c>
      <c r="I46" s="9" t="s">
        <v>33</v>
      </c>
      <c r="J46" s="10">
        <v>8</v>
      </c>
      <c r="K46" s="9">
        <v>7</v>
      </c>
      <c r="L46" s="9">
        <v>3</v>
      </c>
      <c r="M46" s="9">
        <v>3</v>
      </c>
      <c r="N46" s="9">
        <v>4</v>
      </c>
      <c r="O46" s="11">
        <v>1</v>
      </c>
      <c r="P46">
        <f t="shared" si="0"/>
        <v>26</v>
      </c>
    </row>
  </sheetData>
  <autoFilter xmlns:etc="http://www.wps.cn/officeDocument/2017/etCustomData" ref="A1:P46" etc:filterBottomFollowUsedRange="0">
    <filterColumn colId="2">
      <filters>
        <filter val="哀地"/>
        <filter val="树庭"/>
      </filters>
    </filterColumn>
    <extLst/>
  </autoFilter>
  <sortState ref="A2:P46">
    <sortCondition ref="D2"/>
  </sortState>
  <conditionalFormatting sqref="P$1:P$1048576">
    <cfRule type="cellIs" dxfId="0" priority="1" operator="lessThan">
      <formula>25</formula>
    </cfRule>
  </conditionalFormatting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35" sqref="A35"/>
    </sheetView>
  </sheetViews>
  <sheetFormatPr defaultColWidth="8.66666666666667" defaultRowHeight="14.25"/>
  <cols>
    <col min="1" max="1" width="20.5833333333333" customWidth="1"/>
  </cols>
  <sheetData>
    <row r="1" spans="1:9">
      <c r="A1" s="2" t="s">
        <v>11</v>
      </c>
      <c r="B1" s="3" t="s">
        <v>25</v>
      </c>
      <c r="C1" s="3" t="s">
        <v>20</v>
      </c>
      <c r="D1" s="3" t="s">
        <v>63</v>
      </c>
      <c r="E1" s="3" t="s">
        <v>47</v>
      </c>
      <c r="F1" s="3" t="s">
        <v>31</v>
      </c>
      <c r="G1" s="3" t="s">
        <v>78</v>
      </c>
      <c r="H1" s="3" t="s">
        <v>41</v>
      </c>
      <c r="I1" s="6"/>
    </row>
    <row r="2" spans="1:9">
      <c r="A2" s="4" t="s">
        <v>145</v>
      </c>
      <c r="B2">
        <v>20</v>
      </c>
      <c r="C2">
        <v>20</v>
      </c>
      <c r="D2">
        <v>20</v>
      </c>
      <c r="E2">
        <v>10</v>
      </c>
      <c r="F2">
        <v>10</v>
      </c>
      <c r="G2">
        <v>10</v>
      </c>
      <c r="H2">
        <v>10</v>
      </c>
      <c r="I2" s="7">
        <f>SUM(B2:H2)</f>
        <v>100</v>
      </c>
    </row>
    <row r="3" spans="1:9">
      <c r="A3" s="4"/>
      <c r="I3" s="7"/>
    </row>
    <row r="4" spans="1:9">
      <c r="A4" s="4"/>
      <c r="I4" s="7"/>
    </row>
    <row r="5" spans="1:9">
      <c r="A5" s="4" t="s">
        <v>12</v>
      </c>
      <c r="B5" t="s">
        <v>25</v>
      </c>
      <c r="C5" t="s">
        <v>20</v>
      </c>
      <c r="D5" t="s">
        <v>63</v>
      </c>
      <c r="E5" t="s">
        <v>26</v>
      </c>
      <c r="F5"/>
      <c r="G5"/>
      <c r="H5"/>
      <c r="I5" s="7"/>
    </row>
    <row r="6" spans="1:9">
      <c r="A6" s="4" t="s">
        <v>145</v>
      </c>
      <c r="B6">
        <v>29.17</v>
      </c>
      <c r="C6">
        <v>29.17</v>
      </c>
      <c r="D6">
        <v>29.17</v>
      </c>
      <c r="E6">
        <v>12.5</v>
      </c>
      <c r="F6"/>
      <c r="I6" s="7">
        <f>SUM(B6:F6)</f>
        <v>100.01</v>
      </c>
    </row>
    <row r="7" spans="1:9">
      <c r="A7" s="4"/>
      <c r="I7" s="7"/>
    </row>
    <row r="8" spans="1:9">
      <c r="A8" s="4" t="s">
        <v>13</v>
      </c>
      <c r="B8" t="s">
        <v>25</v>
      </c>
      <c r="C8" t="s">
        <v>20</v>
      </c>
      <c r="D8" t="s">
        <v>63</v>
      </c>
      <c r="E8" t="s">
        <v>146</v>
      </c>
      <c r="I8" s="7"/>
    </row>
    <row r="9" spans="1:9">
      <c r="A9" s="4" t="s">
        <v>145</v>
      </c>
      <c r="B9">
        <v>12.33</v>
      </c>
      <c r="C9">
        <v>12.33</v>
      </c>
      <c r="D9">
        <v>12.33</v>
      </c>
      <c r="E9">
        <v>9</v>
      </c>
      <c r="I9" s="7">
        <f>SUM(B9:F9)</f>
        <v>45.99</v>
      </c>
    </row>
    <row r="10" spans="1:9">
      <c r="A10" s="4"/>
      <c r="I10" s="7"/>
    </row>
    <row r="11" spans="1:9">
      <c r="A11" s="4" t="s">
        <v>14</v>
      </c>
      <c r="B11" t="s">
        <v>25</v>
      </c>
      <c r="C11" t="s">
        <v>20</v>
      </c>
      <c r="D11" t="s">
        <v>63</v>
      </c>
      <c r="E11" t="s">
        <v>27</v>
      </c>
      <c r="F11" t="s">
        <v>33</v>
      </c>
      <c r="I11" s="7"/>
    </row>
    <row r="12" spans="1:9">
      <c r="A12" s="4" t="s">
        <v>145</v>
      </c>
      <c r="B12" s="5">
        <v>26.33</v>
      </c>
      <c r="C12" s="5">
        <v>26.33</v>
      </c>
      <c r="D12" s="5">
        <v>26.33</v>
      </c>
      <c r="E12" s="5">
        <v>15</v>
      </c>
      <c r="F12" s="5">
        <v>6</v>
      </c>
      <c r="G12" s="5"/>
      <c r="H12" s="5"/>
      <c r="I12" s="8">
        <f>SUM(B12:F12)</f>
        <v>99.99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opLeftCell="A13" workbookViewId="0">
      <selection activeCell="A40" sqref="A40:C41"/>
    </sheetView>
  </sheetViews>
  <sheetFormatPr defaultColWidth="8.66666666666667" defaultRowHeight="14.25" outlineLevelCol="2"/>
  <cols>
    <col min="1" max="1" width="22.75" customWidth="1"/>
    <col min="3" max="3" width="41.5" customWidth="1"/>
  </cols>
  <sheetData>
    <row r="1" spans="1:3">
      <c r="A1" s="1" t="s">
        <v>147</v>
      </c>
      <c r="B1" s="1" t="s">
        <v>148</v>
      </c>
      <c r="C1" s="1" t="s">
        <v>149</v>
      </c>
    </row>
    <row r="2" spans="1:3">
      <c r="A2" t="s">
        <v>150</v>
      </c>
      <c r="B2" t="s">
        <v>151</v>
      </c>
      <c r="C2" t="s">
        <v>29</v>
      </c>
    </row>
    <row r="3" spans="1:3">
      <c r="A3" t="s">
        <v>152</v>
      </c>
      <c r="B3" t="s">
        <v>151</v>
      </c>
      <c r="C3" t="s">
        <v>17</v>
      </c>
    </row>
    <row r="4" spans="1:3">
      <c r="A4" t="s">
        <v>153</v>
      </c>
      <c r="B4" t="s">
        <v>154</v>
      </c>
      <c r="C4" t="s">
        <v>155</v>
      </c>
    </row>
    <row r="5" spans="1:3">
      <c r="A5" t="s">
        <v>156</v>
      </c>
      <c r="B5" t="s">
        <v>154</v>
      </c>
      <c r="C5" t="s">
        <v>157</v>
      </c>
    </row>
    <row r="6" spans="1:3">
      <c r="A6" t="s">
        <v>158</v>
      </c>
      <c r="B6" t="s">
        <v>159</v>
      </c>
      <c r="C6" t="s">
        <v>44</v>
      </c>
    </row>
    <row r="7" spans="1:3">
      <c r="A7" t="s">
        <v>160</v>
      </c>
      <c r="B7" t="s">
        <v>159</v>
      </c>
      <c r="C7" t="s">
        <v>88</v>
      </c>
    </row>
    <row r="8" spans="1:3">
      <c r="A8" t="s">
        <v>161</v>
      </c>
      <c r="B8" t="s">
        <v>162</v>
      </c>
      <c r="C8" t="s">
        <v>163</v>
      </c>
    </row>
    <row r="9" spans="1:3">
      <c r="A9" t="s">
        <v>164</v>
      </c>
      <c r="B9" t="s">
        <v>162</v>
      </c>
      <c r="C9" t="s">
        <v>49</v>
      </c>
    </row>
    <row r="10" spans="1:3">
      <c r="A10" t="s">
        <v>165</v>
      </c>
      <c r="B10" t="s">
        <v>166</v>
      </c>
      <c r="C10" t="s">
        <v>35</v>
      </c>
    </row>
    <row r="11" spans="1:3">
      <c r="A11" t="s">
        <v>167</v>
      </c>
      <c r="B11" t="s">
        <v>166</v>
      </c>
      <c r="C11" t="s">
        <v>96</v>
      </c>
    </row>
    <row r="12" spans="1:3">
      <c r="A12" t="s">
        <v>168</v>
      </c>
      <c r="B12" t="s">
        <v>169</v>
      </c>
      <c r="C12" t="s">
        <v>22</v>
      </c>
    </row>
    <row r="13" spans="1:3">
      <c r="A13" t="s">
        <v>170</v>
      </c>
      <c r="B13" t="s">
        <v>169</v>
      </c>
      <c r="C13" t="s">
        <v>113</v>
      </c>
    </row>
    <row r="14" spans="1:3">
      <c r="A14" t="s">
        <v>171</v>
      </c>
      <c r="B14" t="s">
        <v>172</v>
      </c>
      <c r="C14" t="s">
        <v>102</v>
      </c>
    </row>
    <row r="15" spans="1:3">
      <c r="A15" t="s">
        <v>173</v>
      </c>
      <c r="B15" t="s">
        <v>172</v>
      </c>
      <c r="C15" t="s">
        <v>174</v>
      </c>
    </row>
    <row r="16" spans="1:3">
      <c r="A16" t="s">
        <v>175</v>
      </c>
      <c r="B16" t="s">
        <v>176</v>
      </c>
      <c r="C16" t="s">
        <v>177</v>
      </c>
    </row>
    <row r="17" spans="1:3">
      <c r="A17" t="s">
        <v>178</v>
      </c>
      <c r="B17" t="s">
        <v>176</v>
      </c>
      <c r="C17" t="s">
        <v>38</v>
      </c>
    </row>
    <row r="18" spans="1:3">
      <c r="A18" t="s">
        <v>179</v>
      </c>
      <c r="B18" t="s">
        <v>180</v>
      </c>
      <c r="C18" t="s">
        <v>127</v>
      </c>
    </row>
    <row r="19" spans="1:3">
      <c r="A19" t="s">
        <v>181</v>
      </c>
      <c r="B19" t="s">
        <v>180</v>
      </c>
      <c r="C19" t="s">
        <v>61</v>
      </c>
    </row>
    <row r="20" spans="1:3">
      <c r="A20" t="s">
        <v>182</v>
      </c>
      <c r="B20" t="s">
        <v>183</v>
      </c>
      <c r="C20" t="s">
        <v>184</v>
      </c>
    </row>
    <row r="21" spans="1:3">
      <c r="A21" t="s">
        <v>185</v>
      </c>
      <c r="B21" t="s">
        <v>183</v>
      </c>
      <c r="C21" t="s">
        <v>186</v>
      </c>
    </row>
    <row r="22" spans="1:3">
      <c r="A22" t="s">
        <v>187</v>
      </c>
      <c r="B22" t="s">
        <v>188</v>
      </c>
      <c r="C22" t="s">
        <v>108</v>
      </c>
    </row>
    <row r="23" spans="1:3">
      <c r="A23" t="s">
        <v>189</v>
      </c>
      <c r="B23" t="s">
        <v>188</v>
      </c>
      <c r="C23" t="s">
        <v>190</v>
      </c>
    </row>
    <row r="24" spans="1:3">
      <c r="A24" t="s">
        <v>191</v>
      </c>
      <c r="B24" t="s">
        <v>192</v>
      </c>
      <c r="C24" t="s">
        <v>193</v>
      </c>
    </row>
    <row r="25" spans="1:3">
      <c r="A25" t="s">
        <v>194</v>
      </c>
      <c r="B25" t="s">
        <v>192</v>
      </c>
      <c r="C25" t="s">
        <v>195</v>
      </c>
    </row>
    <row r="26" spans="1:3">
      <c r="A26" t="s">
        <v>196</v>
      </c>
      <c r="B26" t="s">
        <v>197</v>
      </c>
      <c r="C26" t="s">
        <v>198</v>
      </c>
    </row>
    <row r="27" spans="1:3">
      <c r="A27" t="s">
        <v>199</v>
      </c>
      <c r="B27" t="s">
        <v>197</v>
      </c>
      <c r="C27" t="s">
        <v>117</v>
      </c>
    </row>
    <row r="28" spans="1:3">
      <c r="A28" t="s">
        <v>200</v>
      </c>
      <c r="B28" t="s">
        <v>201</v>
      </c>
      <c r="C28" t="s">
        <v>202</v>
      </c>
    </row>
    <row r="29" spans="1:3">
      <c r="A29" t="s">
        <v>203</v>
      </c>
      <c r="B29" t="s">
        <v>201</v>
      </c>
      <c r="C29" t="s">
        <v>65</v>
      </c>
    </row>
    <row r="30" spans="1:3">
      <c r="A30" t="s">
        <v>204</v>
      </c>
      <c r="B30" t="s">
        <v>205</v>
      </c>
      <c r="C30" t="s">
        <v>206</v>
      </c>
    </row>
    <row r="31" spans="1:3">
      <c r="A31" t="s">
        <v>207</v>
      </c>
      <c r="B31" t="s">
        <v>205</v>
      </c>
      <c r="C31" t="s">
        <v>208</v>
      </c>
    </row>
    <row r="32" spans="1:3">
      <c r="A32" t="s">
        <v>209</v>
      </c>
      <c r="B32" t="s">
        <v>210</v>
      </c>
      <c r="C32" t="s">
        <v>18</v>
      </c>
    </row>
    <row r="33" spans="1:3">
      <c r="A33" t="s">
        <v>211</v>
      </c>
      <c r="B33" t="s">
        <v>210</v>
      </c>
      <c r="C33" t="s">
        <v>130</v>
      </c>
    </row>
    <row r="34" spans="1:3">
      <c r="A34" t="s">
        <v>212</v>
      </c>
      <c r="B34" t="s">
        <v>213</v>
      </c>
      <c r="C34" t="s">
        <v>214</v>
      </c>
    </row>
    <row r="35" spans="1:3">
      <c r="A35" t="s">
        <v>215</v>
      </c>
      <c r="B35" t="s">
        <v>213</v>
      </c>
      <c r="C35" t="s">
        <v>216</v>
      </c>
    </row>
    <row r="36" spans="1:3">
      <c r="A36" t="s">
        <v>217</v>
      </c>
      <c r="B36" t="s">
        <v>218</v>
      </c>
      <c r="C36" t="s">
        <v>219</v>
      </c>
    </row>
    <row r="37" spans="1:3">
      <c r="A37" t="s">
        <v>220</v>
      </c>
      <c r="B37" t="s">
        <v>218</v>
      </c>
      <c r="C37" t="s">
        <v>221</v>
      </c>
    </row>
    <row r="38" spans="1:3">
      <c r="A38" t="s">
        <v>222</v>
      </c>
      <c r="B38" t="s">
        <v>223</v>
      </c>
      <c r="C38" t="s">
        <v>45</v>
      </c>
    </row>
    <row r="39" spans="1:3">
      <c r="A39" t="s">
        <v>224</v>
      </c>
      <c r="B39" t="s">
        <v>223</v>
      </c>
      <c r="C39" t="s">
        <v>225</v>
      </c>
    </row>
    <row r="40" spans="1:3">
      <c r="A40" t="s">
        <v>226</v>
      </c>
      <c r="B40" t="s">
        <v>227</v>
      </c>
      <c r="C40" t="s">
        <v>228</v>
      </c>
    </row>
    <row r="41" spans="1:3">
      <c r="A41" t="s">
        <v>229</v>
      </c>
      <c r="B41" t="s">
        <v>227</v>
      </c>
      <c r="C41" t="s">
        <v>230</v>
      </c>
    </row>
    <row r="42" spans="1:3">
      <c r="A42" t="s">
        <v>231</v>
      </c>
      <c r="B42" t="s">
        <v>232</v>
      </c>
      <c r="C42" t="s">
        <v>233</v>
      </c>
    </row>
    <row r="43" spans="1:3">
      <c r="A43" t="s">
        <v>234</v>
      </c>
      <c r="B43" t="s">
        <v>232</v>
      </c>
      <c r="C43" t="s">
        <v>23</v>
      </c>
    </row>
    <row r="44" spans="1:3">
      <c r="A44" t="s">
        <v>235</v>
      </c>
      <c r="B44" t="s">
        <v>236</v>
      </c>
      <c r="C44" t="s">
        <v>237</v>
      </c>
    </row>
    <row r="45" spans="1:3">
      <c r="A45" t="s">
        <v>238</v>
      </c>
      <c r="B45" t="s">
        <v>236</v>
      </c>
      <c r="C45" t="s">
        <v>97</v>
      </c>
    </row>
    <row r="46" spans="1:3">
      <c r="A46" t="s">
        <v>239</v>
      </c>
      <c r="B46" t="s">
        <v>240</v>
      </c>
      <c r="C46" t="s">
        <v>137</v>
      </c>
    </row>
    <row r="47" spans="1:3">
      <c r="A47" t="s">
        <v>241</v>
      </c>
      <c r="B47" t="s">
        <v>240</v>
      </c>
      <c r="C47" t="s">
        <v>242</v>
      </c>
    </row>
    <row r="48" spans="1:3">
      <c r="A48" t="s">
        <v>243</v>
      </c>
      <c r="B48" t="s">
        <v>244</v>
      </c>
      <c r="C48" t="s">
        <v>245</v>
      </c>
    </row>
    <row r="49" spans="1:3">
      <c r="A49" t="s">
        <v>246</v>
      </c>
      <c r="B49" t="s">
        <v>244</v>
      </c>
      <c r="C49" t="s">
        <v>247</v>
      </c>
    </row>
    <row r="50" spans="1:3">
      <c r="A50" t="s">
        <v>248</v>
      </c>
      <c r="B50" t="s">
        <v>249</v>
      </c>
      <c r="C50" t="s">
        <v>250</v>
      </c>
    </row>
    <row r="51" spans="1:3">
      <c r="A51" t="s">
        <v>251</v>
      </c>
      <c r="B51" t="s">
        <v>249</v>
      </c>
      <c r="C51" t="s">
        <v>105</v>
      </c>
    </row>
    <row r="52" spans="1:3">
      <c r="A52" t="s">
        <v>252</v>
      </c>
      <c r="B52" t="s">
        <v>253</v>
      </c>
      <c r="C52" t="s">
        <v>141</v>
      </c>
    </row>
    <row r="53" spans="1:3">
      <c r="A53" t="s">
        <v>254</v>
      </c>
      <c r="B53" t="s">
        <v>253</v>
      </c>
      <c r="C53" t="s">
        <v>255</v>
      </c>
    </row>
    <row r="54" spans="1:3">
      <c r="A54" t="s">
        <v>256</v>
      </c>
      <c r="B54" t="s">
        <v>257</v>
      </c>
      <c r="C54" t="s">
        <v>258</v>
      </c>
    </row>
    <row r="55" spans="1:3">
      <c r="A55" t="s">
        <v>259</v>
      </c>
      <c r="B55" t="s">
        <v>257</v>
      </c>
      <c r="C55" t="s">
        <v>72</v>
      </c>
    </row>
    <row r="56" spans="1:3">
      <c r="A56" t="s">
        <v>260</v>
      </c>
      <c r="B56" t="s">
        <v>261</v>
      </c>
      <c r="C56" t="s">
        <v>262</v>
      </c>
    </row>
    <row r="57" spans="1:3">
      <c r="A57" t="s">
        <v>263</v>
      </c>
      <c r="B57" t="s">
        <v>261</v>
      </c>
      <c r="C57" t="s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角色遗器</vt:lpstr>
      <vt:lpstr>主词条分布</vt:lpstr>
      <vt:lpstr>遗器相关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孙耀威</dc:creator>
  <cp:lastModifiedBy>10076</cp:lastModifiedBy>
  <dcterms:created xsi:type="dcterms:W3CDTF">2015-06-05T18:19:00Z</dcterms:created>
  <dcterms:modified xsi:type="dcterms:W3CDTF">2026-04-19T06:38:59Z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6691275FB1D14AD38138BBB467D3DF9C_12</vt:lpwstr>
  </property>
  <property fmtid="{D5CDD505-2E9C-101B-9397-08002B2CF9AE}" pid="3" name="KSOProductBuildVer">
    <vt:lpwstr>2052-12.8.2.18676</vt:lpwstr>
  </property>
</Properties>
</file>